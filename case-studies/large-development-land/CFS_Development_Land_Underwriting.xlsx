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ions" sheetId="1" r:id="rId1"/>
    <sheet name="Parcel Evidence" sheetId="2" r:id="rId2"/>
    <sheet name="Assumptions" sheetId="3" r:id="rId3"/>
    <sheet name="Downside" sheetId="4" r:id="rId4"/>
    <sheet name="Base" sheetId="5" r:id="rId5"/>
    <sheet name="Upside" sheetId="6" r:id="rId6"/>
    <sheet name="Sens Value vs Cost" sheetId="7" r:id="rId7"/>
    <sheet name="Sens Acres Density" sheetId="8" r:id="rId8"/>
    <sheet name="Candidate Comparison" sheetId="9" r:id="rId9"/>
    <sheet name="Sources and Limitations" sheetId="10" r:id="rId10"/>
  </sheets>
  <definedNames>
    <definedName name="_xlnm._FilterDatabase" localSheetId="2" hidden="1">Assumptions!$A$3:$G$20</definedName>
    <definedName name="_xlnm.Print_Area" localSheetId="4">Base!$A$1:$C$19</definedName>
    <definedName name="_xlnm.Print_Area" localSheetId="3">Downside!$A$1:$C$19</definedName>
    <definedName name="_xlnm.Print_Area" localSheetId="5">Upside!$A$1:$C$19</definedName>
  </definedNames>
  <calcPr calcId="124519" fullCalcOnLoad="1"/>
</workbook>
</file>

<file path=xl/sharedStrings.xml><?xml version="1.0" encoding="utf-8"?>
<sst xmlns="http://schemas.openxmlformats.org/spreadsheetml/2006/main" count="276" uniqueCount="156">
  <si>
    <t>CFS Development Land Underwriting - CASE-3B Diagnostic Workbook</t>
  </si>
  <si>
    <t>Purpose</t>
  </si>
  <si>
    <t>Screening-level residual land-value context for CFS-PARCEL-0149758869. For review, not final pricing.</t>
  </si>
  <si>
    <t>Editable cells</t>
  </si>
  <si>
    <t>Yellow cells on Assumptions are editable assumptions. Green cells are formulas. Orange cells are warnings.</t>
  </si>
  <si>
    <t>Evidence labels</t>
  </si>
  <si>
    <t>CFS evidence, analyst benchmark, editable assumption, formula, professional estimate required, missing input.</t>
  </si>
  <si>
    <t>Limitations</t>
  </si>
  <si>
    <t>Not an appraisal, market value, fair value, recommended offer, investment advice, utility capacity confirmation, or entitlement approval.</t>
  </si>
  <si>
    <t>Safety</t>
  </si>
  <si>
    <t>No owner, mailing, restricted listing, raw score, exact probability, secret, or database credential data is included.</t>
  </si>
  <si>
    <t>Parcel Evidence</t>
  </si>
  <si>
    <t>Field</t>
  </si>
  <si>
    <t>Evidence</t>
  </si>
  <si>
    <t>Parcel ID</t>
  </si>
  <si>
    <t>CFS-PARCEL-0149758869</t>
  </si>
  <si>
    <t>Gross acreage</t>
  </si>
  <si>
    <t>489.43</t>
  </si>
  <si>
    <t>Preliminary developable-area screening estimate</t>
  </si>
  <si>
    <t>392.11</t>
  </si>
  <si>
    <t>Screening score</t>
  </si>
  <si>
    <t>89</t>
  </si>
  <si>
    <t>Planning context</t>
  </si>
  <si>
    <t>Concord; I-2 overlay requires planning interpretation and is not residential entitlement.</t>
  </si>
  <si>
    <t>Transportation context</t>
  </si>
  <si>
    <t>Road proximity evidence exists; legal access and off-site work are unconfirmed.</t>
  </si>
  <si>
    <t>Utility-readiness proxy</t>
  </si>
  <si>
    <t>Adjacent sewer-proximity and strong proxy; service availability and capacity are not confirmed.</t>
  </si>
  <si>
    <t>Environmental context</t>
  </si>
  <si>
    <t>Moderate mapped constraint band; FEMA/NWI overlap handled without double-counting.</t>
  </si>
  <si>
    <t>Evidence gaps</t>
  </si>
  <si>
    <t>Finished-lot comps, civil cost, utilities, entitlement, access, title/easements, survey, environmental/geotech.</t>
  </si>
  <si>
    <t>Source dates</t>
  </si>
  <si>
    <t>CASE-1 package 2026-07-18; benchmarks accessed 2026-07-20.</t>
  </si>
  <si>
    <t>Scenario Assumptions</t>
  </si>
  <si>
    <t>Input</t>
  </si>
  <si>
    <t>Downside</t>
  </si>
  <si>
    <t>Base</t>
  </si>
  <si>
    <t>Upside</t>
  </si>
  <si>
    <t>Unit</t>
  </si>
  <si>
    <t>Evidence Type</t>
  </si>
  <si>
    <t>Status</t>
  </si>
  <si>
    <t>Developable acreage</t>
  </si>
  <si>
    <t>acres</t>
  </si>
  <si>
    <t>CFS evidence</t>
  </si>
  <si>
    <t>Needs Review</t>
  </si>
  <si>
    <t>Density</t>
  </si>
  <si>
    <t>lots/dev acre</t>
  </si>
  <si>
    <t>Analyst benchmark</t>
  </si>
  <si>
    <t>Estimated lots</t>
  </si>
  <si>
    <t>lots</t>
  </si>
  <si>
    <t>Formula</t>
  </si>
  <si>
    <t>Finished-lot value</t>
  </si>
  <si>
    <t>$/lot</t>
  </si>
  <si>
    <t>Internal horizontal cost per lot</t>
  </si>
  <si>
    <t>Professional estimate required</t>
  </si>
  <si>
    <t>Road/intersection allowance</t>
  </si>
  <si>
    <t>$</t>
  </si>
  <si>
    <t>Analyst allowance</t>
  </si>
  <si>
    <t>Water-extension allowance</t>
  </si>
  <si>
    <t>Sewer/special-utility allowance</t>
  </si>
  <si>
    <t>CFS proxy + analyst allowance</t>
  </si>
  <si>
    <t>Other off-site allowance</t>
  </si>
  <si>
    <t>Missing input</t>
  </si>
  <si>
    <t>Blank until confirmed</t>
  </si>
  <si>
    <t>Soft-cost percentage</t>
  </si>
  <si>
    <t>% hard costs</t>
  </si>
  <si>
    <t>Analyst assumption</t>
  </si>
  <si>
    <t>Contingency percentage</t>
  </si>
  <si>
    <t>Selling-cost percentage</t>
  </si>
  <si>
    <t>% revenue</t>
  </si>
  <si>
    <t>Financing/carry allowance</t>
  </si>
  <si>
    <t>% costs</t>
  </si>
  <si>
    <t>Developer-margin percentage</t>
  </si>
  <si>
    <t>Timeline</t>
  </si>
  <si>
    <t>12 + 24 + 30 + 48 months</t>
  </si>
  <si>
    <t>9 + 18 + 24 + 36 months</t>
  </si>
  <si>
    <t>6 + 12 + 18 + 24 months</t>
  </si>
  <si>
    <t>text</t>
  </si>
  <si>
    <t>Scenario acquisition basis</t>
  </si>
  <si>
    <t>No asking price fabricated</t>
  </si>
  <si>
    <t>Downside Diagnostic Scenario</t>
  </si>
  <si>
    <t>Line item</t>
  </si>
  <si>
    <t>Value</t>
  </si>
  <si>
    <t>Notes</t>
  </si>
  <si>
    <t>Developable acres</t>
  </si>
  <si>
    <t>Formula-driven diagnostic result.</t>
  </si>
  <si>
    <t>Gross development revenue</t>
  </si>
  <si>
    <t>Internal horizontal costs</t>
  </si>
  <si>
    <t>Defined off-site costs</t>
  </si>
  <si>
    <t>Modeled hard costs</t>
  </si>
  <si>
    <t>Soft costs</t>
  </si>
  <si>
    <t>Contingency</t>
  </si>
  <si>
    <t>Selling costs</t>
  </si>
  <si>
    <t>Required developer margin</t>
  </si>
  <si>
    <t>Preliminary residual before land</t>
  </si>
  <si>
    <t>Supportable land-price status</t>
  </si>
  <si>
    <t>Key warning</t>
  </si>
  <si>
    <t>Screening priority does not equal financial feasibility.</t>
  </si>
  <si>
    <t>Base Diagnostic Scenario</t>
  </si>
  <si>
    <t>Upside Diagnostic Scenario</t>
  </si>
  <si>
    <t>Base sensitivity: finished-lot value vs horizontal cost per lot</t>
  </si>
  <si>
    <t>Value / Cost</t>
  </si>
  <si>
    <t>Base sensitivity: developable acreage vs modeled density</t>
  </si>
  <si>
    <t>Acres / Density</t>
  </si>
  <si>
    <t>Candidate</t>
  </si>
  <si>
    <t>Gross acres</t>
  </si>
  <si>
    <t>Developable estimate</t>
  </si>
  <si>
    <t>Score</t>
  </si>
  <si>
    <t>Decision</t>
  </si>
  <si>
    <t>Main advantage</t>
  </si>
  <si>
    <t>Main risk</t>
  </si>
  <si>
    <t>Financial status</t>
  </si>
  <si>
    <t>Targeted diligence only; do not advance to acquisition pricing yet</t>
  </si>
  <si>
    <t>Strongest physical/planning screen</t>
  </si>
  <si>
    <t>Financial scenarios negative</t>
  </si>
  <si>
    <t>No positive supportable land price under current diagnostic scenarios</t>
  </si>
  <si>
    <t>CFS-PARCEL-0149760035</t>
  </si>
  <si>
    <t>Retain for secondary review</t>
  </si>
  <si>
    <t>Largest developable estimate</t>
  </si>
  <si>
    <t>Infrastructure and entitlement questions unresolved</t>
  </si>
  <si>
    <t>Not underwritten</t>
  </si>
  <si>
    <t>CFS-PARCEL-0149777275</t>
  </si>
  <si>
    <t>Defer</t>
  </si>
  <si>
    <t>Meets acreage threshold</t>
  </si>
  <si>
    <t>Constraint and utility burden</t>
  </si>
  <si>
    <t>Source</t>
  </si>
  <si>
    <t>Date</t>
  </si>
  <si>
    <t>Geography</t>
  </si>
  <si>
    <t>Metric</t>
  </si>
  <si>
    <t>Limitation</t>
  </si>
  <si>
    <t>Evidence type</t>
  </si>
  <si>
    <t>CFS CASE-1 package</t>
  </si>
  <si>
    <t>2026-07-18</t>
  </si>
  <si>
    <t>Cabarrus County</t>
  </si>
  <si>
    <t>Parcel evidence and scores</t>
  </si>
  <si>
    <t>Screening evidence only</t>
  </si>
  <si>
    <t>CFS-derived screening evidence</t>
  </si>
  <si>
    <t>CFS CASE-3A.1 benchmarks</t>
  </si>
  <si>
    <t>2026-07-20</t>
  </si>
  <si>
    <t>Cabarrus/Charlotte/National</t>
  </si>
  <si>
    <t>Market assumptions</t>
  </si>
  <si>
    <t>Indirect; professional study required</t>
  </si>
  <si>
    <t>Concord/WSACC fee schedules</t>
  </si>
  <si>
    <t>2025-2027</t>
  </si>
  <si>
    <t>Concord/Cabarrus</t>
  </si>
  <si>
    <t>Fee references</t>
  </si>
  <si>
    <t>Not utility capacity or extension estimate</t>
  </si>
  <si>
    <t>Confirmed public evidence</t>
  </si>
  <si>
    <t>NAHB benchmarks</t>
  </si>
  <si>
    <t>2025-2026</t>
  </si>
  <si>
    <t>United States/South Atlantic</t>
  </si>
  <si>
    <t>Lot share and lot values</t>
  </si>
  <si>
    <t>Not local finished-lot comps</t>
  </si>
  <si>
    <t>Verification requirement</t>
  </si>
  <si>
    <t>Civil, utility, transportation, planning, market, survey/title, environmental, geotechnical, and finance review required.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</si>
</sst>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%"/>
    <numFmt numFmtId="166" formatCode="$#,##0;[Red]-$#,##0"/>
  </numFmts>
  <fonts count="4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0" borderId="1" xfId="0" applyBorder="1" applyAlignment="1">
      <alignment vertical="top" wrapText="1"/>
    </xf>
    <xf numFmtId="0" fontId="2" fillId="3" borderId="1" xfId="0" applyFont="1" applyFill="1" applyBorder="1"/>
    <xf numFmtId="0" fontId="0" fillId="4" borderId="1" xfId="0" applyFill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166" fontId="0" fillId="5" borderId="1" xfId="0" applyNumberFormat="1" applyFill="1" applyBorder="1"/>
    <xf numFmtId="0" fontId="3" fillId="6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7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92.7109375" customWidth="1"/>
  </cols>
  <sheetData>
    <row r="1" spans="1:2">
      <c r="A1" s="1" t="s">
        <v>0</v>
      </c>
      <c r="B1" s="1"/>
    </row>
    <row r="3" spans="1:2">
      <c r="A3" s="2" t="s">
        <v>1</v>
      </c>
      <c r="B3" s="2" t="s">
        <v>2</v>
      </c>
    </row>
    <row r="4" spans="1:2">
      <c r="A4" s="2" t="s">
        <v>3</v>
      </c>
      <c r="B4" s="2" t="s">
        <v>4</v>
      </c>
    </row>
    <row r="5" spans="1:2">
      <c r="A5" s="2" t="s">
        <v>5</v>
      </c>
      <c r="B5" s="2" t="s">
        <v>6</v>
      </c>
    </row>
    <row r="6" spans="1:2">
      <c r="A6" s="2" t="s">
        <v>7</v>
      </c>
      <c r="B6" s="2" t="s">
        <v>8</v>
      </c>
    </row>
    <row r="7" spans="1:2">
      <c r="A7" s="2" t="s">
        <v>9</v>
      </c>
      <c r="B7" s="2" t="s">
        <v>10</v>
      </c>
    </row>
  </sheetData>
  <mergeCells count="1">
    <mergeCell ref="A1:B1"/>
  </mergeCells>
  <pageMargins left="0.4" right="0.4" top="0.5" bottom="0.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80.7109375" customWidth="1"/>
  </cols>
  <sheetData>
    <row r="1" spans="1:2">
      <c r="A1" s="1" t="s">
        <v>11</v>
      </c>
      <c r="B1" s="1"/>
    </row>
    <row r="3" spans="1:2">
      <c r="A3" s="3" t="s">
        <v>12</v>
      </c>
      <c r="B3" s="3" t="s">
        <v>13</v>
      </c>
    </row>
    <row r="4" spans="1:2">
      <c r="A4" s="2" t="s">
        <v>14</v>
      </c>
      <c r="B4" s="2" t="s">
        <v>15</v>
      </c>
    </row>
    <row r="5" spans="1:2">
      <c r="A5" s="2" t="s">
        <v>16</v>
      </c>
      <c r="B5" s="2" t="s">
        <v>17</v>
      </c>
    </row>
    <row r="6" spans="1:2">
      <c r="A6" s="2" t="s">
        <v>18</v>
      </c>
      <c r="B6" s="2" t="s">
        <v>19</v>
      </c>
    </row>
    <row r="7" spans="1:2">
      <c r="A7" s="2" t="s">
        <v>20</v>
      </c>
      <c r="B7" s="2" t="s">
        <v>21</v>
      </c>
    </row>
    <row r="8" spans="1:2">
      <c r="A8" s="2" t="s">
        <v>22</v>
      </c>
      <c r="B8" s="2" t="s">
        <v>23</v>
      </c>
    </row>
    <row r="9" spans="1:2">
      <c r="A9" s="2" t="s">
        <v>24</v>
      </c>
      <c r="B9" s="2" t="s">
        <v>25</v>
      </c>
    </row>
    <row r="10" spans="1:2">
      <c r="A10" s="2" t="s">
        <v>26</v>
      </c>
      <c r="B10" s="2" t="s">
        <v>27</v>
      </c>
    </row>
    <row r="11" spans="1:2">
      <c r="A11" s="2" t="s">
        <v>28</v>
      </c>
      <c r="B11" s="2" t="s">
        <v>29</v>
      </c>
    </row>
    <row r="12" spans="1:2">
      <c r="A12" s="2" t="s">
        <v>30</v>
      </c>
      <c r="B12" s="2" t="s">
        <v>31</v>
      </c>
    </row>
    <row r="13" spans="1:2">
      <c r="A13" s="2" t="s">
        <v>32</v>
      </c>
      <c r="B13" s="2" t="s">
        <v>33</v>
      </c>
    </row>
  </sheetData>
  <mergeCells count="1">
    <mergeCell ref="A1:B1"/>
  </mergeCells>
  <pageMargins left="0.4" right="0.4" top="0.5" bottom="0.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4" width="16.7109375" customWidth="1"/>
    <col min="5" max="7" width="24.7109375" customWidth="1"/>
  </cols>
  <sheetData>
    <row r="1" spans="1:7">
      <c r="A1" s="1" t="s">
        <v>34</v>
      </c>
      <c r="B1" s="1"/>
      <c r="C1" s="1"/>
      <c r="D1" s="1"/>
      <c r="E1" s="1"/>
      <c r="F1" s="1"/>
      <c r="G1" s="1"/>
    </row>
    <row r="3" spans="1:7">
      <c r="A3" s="3" t="s">
        <v>35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</row>
    <row r="4" spans="1:7">
      <c r="A4" s="2" t="s">
        <v>42</v>
      </c>
      <c r="B4" s="4">
        <v>350</v>
      </c>
      <c r="C4" s="4">
        <v>392.11</v>
      </c>
      <c r="D4" s="4">
        <v>430</v>
      </c>
      <c r="E4" s="2" t="s">
        <v>43</v>
      </c>
      <c r="F4" s="2" t="s">
        <v>44</v>
      </c>
      <c r="G4" s="2" t="s">
        <v>45</v>
      </c>
    </row>
    <row r="5" spans="1:7">
      <c r="A5" s="2" t="s">
        <v>46</v>
      </c>
      <c r="B5" s="4">
        <v>2.2</v>
      </c>
      <c r="C5" s="4">
        <v>2.8</v>
      </c>
      <c r="D5" s="4">
        <v>3.4</v>
      </c>
      <c r="E5" s="2" t="s">
        <v>47</v>
      </c>
      <c r="F5" s="2" t="s">
        <v>48</v>
      </c>
      <c r="G5" s="2" t="s">
        <v>45</v>
      </c>
    </row>
    <row r="6" spans="1:7">
      <c r="A6" s="2" t="s">
        <v>49</v>
      </c>
      <c r="B6" s="5">
        <f>B4*B5</f>
        <v>770.0000000000001</v>
      </c>
      <c r="C6" s="5">
        <f>C4*C5</f>
        <v>1097.908</v>
      </c>
      <c r="D6" s="5">
        <f>D4*D5</f>
        <v>1462.0</v>
      </c>
      <c r="E6" s="2" t="s">
        <v>50</v>
      </c>
      <c r="F6" s="2" t="s">
        <v>51</v>
      </c>
      <c r="G6" s="2" t="s">
        <v>51</v>
      </c>
    </row>
    <row r="7" spans="1:7">
      <c r="A7" s="2" t="s">
        <v>52</v>
      </c>
      <c r="B7" s="4">
        <v>55000</v>
      </c>
      <c r="C7" s="4">
        <v>70000</v>
      </c>
      <c r="D7" s="4">
        <v>85000</v>
      </c>
      <c r="E7" s="2" t="s">
        <v>53</v>
      </c>
      <c r="F7" s="2" t="s">
        <v>48</v>
      </c>
      <c r="G7" s="2" t="s">
        <v>45</v>
      </c>
    </row>
    <row r="8" spans="1:7">
      <c r="A8" s="2" t="s">
        <v>54</v>
      </c>
      <c r="B8" s="4">
        <v>85000</v>
      </c>
      <c r="C8" s="4">
        <v>70000</v>
      </c>
      <c r="D8" s="4">
        <v>60000</v>
      </c>
      <c r="E8" s="2" t="s">
        <v>53</v>
      </c>
      <c r="F8" s="2" t="s">
        <v>48</v>
      </c>
      <c r="G8" s="2" t="s">
        <v>55</v>
      </c>
    </row>
    <row r="9" spans="1:7">
      <c r="A9" s="2" t="s">
        <v>56</v>
      </c>
      <c r="B9" s="4">
        <v>15000000</v>
      </c>
      <c r="C9" s="4">
        <v>8000000</v>
      </c>
      <c r="D9" s="4">
        <v>4000000</v>
      </c>
      <c r="E9" s="2" t="s">
        <v>57</v>
      </c>
      <c r="F9" s="2" t="s">
        <v>58</v>
      </c>
      <c r="G9" s="2" t="s">
        <v>55</v>
      </c>
    </row>
    <row r="10" spans="1:7">
      <c r="A10" s="2" t="s">
        <v>59</v>
      </c>
      <c r="B10" s="4">
        <v>6000000</v>
      </c>
      <c r="C10" s="4">
        <v>3000000</v>
      </c>
      <c r="D10" s="4">
        <v>1500000</v>
      </c>
      <c r="E10" s="2" t="s">
        <v>57</v>
      </c>
      <c r="F10" s="2" t="s">
        <v>58</v>
      </c>
      <c r="G10" s="2" t="s">
        <v>55</v>
      </c>
    </row>
    <row r="11" spans="1:7">
      <c r="A11" s="2" t="s">
        <v>60</v>
      </c>
      <c r="B11" s="4">
        <v>10000000</v>
      </c>
      <c r="C11" s="4">
        <v>5000000</v>
      </c>
      <c r="D11" s="4">
        <v>2000000</v>
      </c>
      <c r="E11" s="2" t="s">
        <v>57</v>
      </c>
      <c r="F11" s="2" t="s">
        <v>61</v>
      </c>
      <c r="G11" s="2" t="s">
        <v>55</v>
      </c>
    </row>
    <row r="12" spans="1:7">
      <c r="A12" s="2" t="s">
        <v>62</v>
      </c>
      <c r="B12" s="4">
        <v>0</v>
      </c>
      <c r="C12" s="4">
        <v>0</v>
      </c>
      <c r="D12" s="4">
        <v>0</v>
      </c>
      <c r="E12" s="2" t="s">
        <v>57</v>
      </c>
      <c r="F12" s="2" t="s">
        <v>63</v>
      </c>
      <c r="G12" s="2" t="s">
        <v>64</v>
      </c>
    </row>
    <row r="13" spans="1:7">
      <c r="A13" s="2" t="s">
        <v>65</v>
      </c>
      <c r="B13" s="6">
        <v>0.15</v>
      </c>
      <c r="C13" s="6">
        <v>0.12</v>
      </c>
      <c r="D13" s="6">
        <v>0.1</v>
      </c>
      <c r="E13" s="2" t="s">
        <v>66</v>
      </c>
      <c r="F13" s="2" t="s">
        <v>67</v>
      </c>
      <c r="G13" s="2" t="s">
        <v>45</v>
      </c>
    </row>
    <row r="14" spans="1:7">
      <c r="A14" s="2" t="s">
        <v>68</v>
      </c>
      <c r="B14" s="6">
        <v>0.2</v>
      </c>
      <c r="C14" s="6">
        <v>0.15</v>
      </c>
      <c r="D14" s="6">
        <v>0.1</v>
      </c>
      <c r="E14" s="2" t="s">
        <v>66</v>
      </c>
      <c r="F14" s="2" t="s">
        <v>67</v>
      </c>
      <c r="G14" s="2" t="s">
        <v>45</v>
      </c>
    </row>
    <row r="15" spans="1:7">
      <c r="A15" s="2" t="s">
        <v>69</v>
      </c>
      <c r="B15" s="6">
        <v>0.04</v>
      </c>
      <c r="C15" s="6">
        <v>0.03</v>
      </c>
      <c r="D15" s="6">
        <v>0.02</v>
      </c>
      <c r="E15" s="2" t="s">
        <v>70</v>
      </c>
      <c r="F15" s="2" t="s">
        <v>67</v>
      </c>
      <c r="G15" s="2" t="s">
        <v>45</v>
      </c>
    </row>
    <row r="16" spans="1:7">
      <c r="A16" s="2" t="s">
        <v>71</v>
      </c>
      <c r="B16" s="6">
        <v>0.1</v>
      </c>
      <c r="C16" s="6">
        <v>0.08</v>
      </c>
      <c r="D16" s="6">
        <v>0.06</v>
      </c>
      <c r="E16" s="2" t="s">
        <v>72</v>
      </c>
      <c r="F16" s="2" t="s">
        <v>67</v>
      </c>
      <c r="G16" s="2" t="s">
        <v>45</v>
      </c>
    </row>
    <row r="17" spans="1:7">
      <c r="A17" s="2" t="s">
        <v>73</v>
      </c>
      <c r="B17" s="6">
        <v>0.18</v>
      </c>
      <c r="C17" s="6">
        <v>0.15</v>
      </c>
      <c r="D17" s="6">
        <v>0.12</v>
      </c>
      <c r="E17" s="2" t="s">
        <v>70</v>
      </c>
      <c r="F17" s="2" t="s">
        <v>67</v>
      </c>
      <c r="G17" s="2" t="s">
        <v>45</v>
      </c>
    </row>
    <row r="18" spans="1:7">
      <c r="A18" s="2" t="s">
        <v>74</v>
      </c>
      <c r="B18" s="4" t="s">
        <v>75</v>
      </c>
      <c r="C18" s="4" t="s">
        <v>76</v>
      </c>
      <c r="D18" s="4" t="s">
        <v>77</v>
      </c>
      <c r="E18" s="2" t="s">
        <v>78</v>
      </c>
      <c r="F18" s="2" t="s">
        <v>67</v>
      </c>
      <c r="G18" s="2" t="s">
        <v>45</v>
      </c>
    </row>
    <row r="19" spans="1:7">
      <c r="A19" s="2" t="s">
        <v>79</v>
      </c>
      <c r="B19" s="4"/>
      <c r="C19" s="4"/>
      <c r="D19" s="4"/>
      <c r="E19" s="2" t="s">
        <v>57</v>
      </c>
      <c r="F19" s="2" t="s">
        <v>63</v>
      </c>
      <c r="G19" s="2" t="s">
        <v>80</v>
      </c>
    </row>
  </sheetData>
  <autoFilter ref="A3:G20"/>
  <mergeCells count="1">
    <mergeCell ref="A1:G1"/>
  </mergeCells>
  <pageMargins left="0.4" right="0.4" top="0.5" bottom="0.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22.7109375" customWidth="1"/>
    <col min="3" max="3" width="48.7109375" customWidth="1"/>
  </cols>
  <sheetData>
    <row r="1" spans="1:3">
      <c r="A1" s="1" t="s">
        <v>81</v>
      </c>
      <c r="B1" s="1"/>
      <c r="C1" s="1"/>
    </row>
    <row r="3" spans="1:3">
      <c r="A3" s="3" t="s">
        <v>82</v>
      </c>
      <c r="B3" s="3" t="s">
        <v>83</v>
      </c>
      <c r="C3" s="3" t="s">
        <v>84</v>
      </c>
    </row>
    <row r="4" spans="1:3">
      <c r="A4" s="2" t="s">
        <v>85</v>
      </c>
      <c r="B4" s="5">
        <f>Assumptions!B4</f>
        <v>350.0</v>
      </c>
      <c r="C4" s="2" t="s">
        <v>86</v>
      </c>
    </row>
    <row r="5" spans="1:3">
      <c r="A5" s="2" t="s">
        <v>46</v>
      </c>
      <c r="B5" s="5">
        <f>Assumptions!B5</f>
        <v>2.2</v>
      </c>
      <c r="C5" s="2" t="s">
        <v>86</v>
      </c>
    </row>
    <row r="6" spans="1:3">
      <c r="A6" s="2" t="s">
        <v>49</v>
      </c>
      <c r="B6" s="5">
        <f>B3*B4</f>
        <v>770.0000000000001</v>
      </c>
      <c r="C6" s="2" t="s">
        <v>86</v>
      </c>
    </row>
    <row r="7" spans="1:3">
      <c r="A7" s="2" t="s">
        <v>52</v>
      </c>
      <c r="B7" s="7">
        <f>Assumptions!B7</f>
        <v>55000</v>
      </c>
      <c r="C7" s="2" t="s">
        <v>86</v>
      </c>
    </row>
    <row r="8" spans="1:3">
      <c r="A8" s="2" t="s">
        <v>87</v>
      </c>
      <c r="B8" s="7">
        <f>B5*B6</f>
        <v>42350000.00000001</v>
      </c>
      <c r="C8" s="2" t="s">
        <v>86</v>
      </c>
    </row>
    <row r="9" spans="1:3">
      <c r="A9" s="2" t="s">
        <v>88</v>
      </c>
      <c r="B9" s="7">
        <f>B5*Assumptions!B8</f>
        <v>65450000.00000001</v>
      </c>
      <c r="C9" s="2" t="s">
        <v>86</v>
      </c>
    </row>
    <row r="10" spans="1:3">
      <c r="A10" s="2" t="s">
        <v>89</v>
      </c>
      <c r="B10" s="7">
        <f>SUM(Assumptions!B9:B12)</f>
        <v>31000000</v>
      </c>
      <c r="C10" s="2" t="s">
        <v>86</v>
      </c>
    </row>
    <row r="11" spans="1:3">
      <c r="A11" s="2" t="s">
        <v>90</v>
      </c>
      <c r="B11" s="7">
        <f>B8+B9</f>
        <v>96450000.0</v>
      </c>
      <c r="C11" s="2" t="s">
        <v>86</v>
      </c>
    </row>
    <row r="12" spans="1:3">
      <c r="A12" s="2" t="s">
        <v>91</v>
      </c>
      <c r="B12" s="7">
        <f>B10*Assumptions!B13</f>
        <v>14467500.0</v>
      </c>
      <c r="C12" s="2" t="s">
        <v>86</v>
      </c>
    </row>
    <row r="13" spans="1:3">
      <c r="A13" s="2" t="s">
        <v>92</v>
      </c>
      <c r="B13" s="7">
        <f>B10*Assumptions!B14</f>
        <v>19290000.0</v>
      </c>
      <c r="C13" s="2" t="s">
        <v>86</v>
      </c>
    </row>
    <row r="14" spans="1:3">
      <c r="A14" s="2" t="s">
        <v>93</v>
      </c>
      <c r="B14" s="7">
        <f>B7*Assumptions!B15</f>
        <v>1694000.0000000002</v>
      </c>
      <c r="C14" s="2" t="s">
        <v>86</v>
      </c>
    </row>
    <row r="15" spans="1:3">
      <c r="A15" s="2" t="s">
        <v>71</v>
      </c>
      <c r="B15" s="7">
        <f>(B10+B11+B12)*Assumptions!B16</f>
        <v>13020750.0</v>
      </c>
      <c r="C15" s="2" t="s">
        <v>86</v>
      </c>
    </row>
    <row r="16" spans="1:3">
      <c r="A16" s="2" t="s">
        <v>94</v>
      </c>
      <c r="B16" s="7">
        <f>B7*Assumptions!B17</f>
        <v>7623000.000000001</v>
      </c>
      <c r="C16" s="2" t="s">
        <v>86</v>
      </c>
    </row>
    <row r="17" spans="1:3">
      <c r="A17" s="2" t="s">
        <v>95</v>
      </c>
      <c r="B17" s="8">
        <f>B7-SUM(B8:B14)</f>
        <v>-110195250.0</v>
      </c>
      <c r="C17" s="2" t="s">
        <v>86</v>
      </c>
    </row>
    <row r="18" spans="1:3">
      <c r="A18" s="2" t="s">
        <v>96</v>
      </c>
      <c r="B18" s="9" t="str">
        <f>IF(B15&gt;0,"Preliminary maximum supportable land price","No positive supportable land price under current diagnostic assumptions")</f>
        <v>No positive supportable land price under current diagnostic assumptions</v>
      </c>
      <c r="C18" s="2" t="s">
        <v>86</v>
      </c>
    </row>
    <row r="19" spans="1:3">
      <c r="A19" s="2" t="s">
        <v>97</v>
      </c>
      <c r="B19" s="9" t="s">
        <v>98</v>
      </c>
    </row>
  </sheetData>
  <mergeCells count="1">
    <mergeCell ref="A1:C1"/>
  </mergeCells>
  <pageMargins left="0.4" right="0.4" top="0.5" bottom="0.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22.7109375" customWidth="1"/>
    <col min="3" max="3" width="48.7109375" customWidth="1"/>
  </cols>
  <sheetData>
    <row r="1" spans="1:3">
      <c r="A1" s="1" t="s">
        <v>99</v>
      </c>
      <c r="B1" s="1"/>
      <c r="C1" s="1"/>
    </row>
    <row r="3" spans="1:3">
      <c r="A3" s="3" t="s">
        <v>82</v>
      </c>
      <c r="B3" s="3" t="s">
        <v>83</v>
      </c>
      <c r="C3" s="3" t="s">
        <v>84</v>
      </c>
    </row>
    <row r="4" spans="1:3">
      <c r="A4" s="2" t="s">
        <v>85</v>
      </c>
      <c r="B4" s="5">
        <f>Assumptions!C4</f>
        <v>392.11</v>
      </c>
      <c r="C4" s="2" t="s">
        <v>86</v>
      </c>
    </row>
    <row r="5" spans="1:3">
      <c r="A5" s="2" t="s">
        <v>46</v>
      </c>
      <c r="B5" s="5">
        <f>Assumptions!C5</f>
        <v>2.8</v>
      </c>
      <c r="C5" s="2" t="s">
        <v>86</v>
      </c>
    </row>
    <row r="6" spans="1:3">
      <c r="A6" s="2" t="s">
        <v>49</v>
      </c>
      <c r="B6" s="5">
        <f>B3*B4</f>
        <v>1097.908</v>
      </c>
      <c r="C6" s="2" t="s">
        <v>86</v>
      </c>
    </row>
    <row r="7" spans="1:3">
      <c r="A7" s="2" t="s">
        <v>52</v>
      </c>
      <c r="B7" s="7">
        <f>Assumptions!C7</f>
        <v>70000</v>
      </c>
      <c r="C7" s="2" t="s">
        <v>86</v>
      </c>
    </row>
    <row r="8" spans="1:3">
      <c r="A8" s="2" t="s">
        <v>87</v>
      </c>
      <c r="B8" s="7">
        <f>B5*B6</f>
        <v>76853560.0</v>
      </c>
      <c r="C8" s="2" t="s">
        <v>86</v>
      </c>
    </row>
    <row r="9" spans="1:3">
      <c r="A9" s="2" t="s">
        <v>88</v>
      </c>
      <c r="B9" s="7">
        <f>B5*Assumptions!C8</f>
        <v>76853560.0</v>
      </c>
      <c r="C9" s="2" t="s">
        <v>86</v>
      </c>
    </row>
    <row r="10" spans="1:3">
      <c r="A10" s="2" t="s">
        <v>89</v>
      </c>
      <c r="B10" s="7">
        <f>SUM(Assumptions!C9:C12)</f>
        <v>16000000</v>
      </c>
      <c r="C10" s="2" t="s">
        <v>86</v>
      </c>
    </row>
    <row r="11" spans="1:3">
      <c r="A11" s="2" t="s">
        <v>90</v>
      </c>
      <c r="B11" s="7">
        <f>B8+B9</f>
        <v>92853560.0</v>
      </c>
      <c r="C11" s="2" t="s">
        <v>86</v>
      </c>
    </row>
    <row r="12" spans="1:3">
      <c r="A12" s="2" t="s">
        <v>91</v>
      </c>
      <c r="B12" s="7">
        <f>B10*Assumptions!C13</f>
        <v>11142427.2</v>
      </c>
      <c r="C12" s="2" t="s">
        <v>86</v>
      </c>
    </row>
    <row r="13" spans="1:3">
      <c r="A13" s="2" t="s">
        <v>92</v>
      </c>
      <c r="B13" s="7">
        <f>B10*Assumptions!C14</f>
        <v>13928034.0</v>
      </c>
      <c r="C13" s="2" t="s">
        <v>86</v>
      </c>
    </row>
    <row r="14" spans="1:3">
      <c r="A14" s="2" t="s">
        <v>93</v>
      </c>
      <c r="B14" s="7">
        <f>B7*Assumptions!C15</f>
        <v>2305606.8</v>
      </c>
      <c r="C14" s="2" t="s">
        <v>86</v>
      </c>
    </row>
    <row r="15" spans="1:3">
      <c r="A15" s="2" t="s">
        <v>71</v>
      </c>
      <c r="B15" s="7">
        <f>(B10+B11+B12)*Assumptions!C16</f>
        <v>9433921.696</v>
      </c>
      <c r="C15" s="2" t="s">
        <v>86</v>
      </c>
    </row>
    <row r="16" spans="1:3">
      <c r="A16" s="2" t="s">
        <v>94</v>
      </c>
      <c r="B16" s="7">
        <f>B7*Assumptions!C17</f>
        <v>11528034.0</v>
      </c>
      <c r="C16" s="2" t="s">
        <v>86</v>
      </c>
    </row>
    <row r="17" spans="1:3">
      <c r="A17" s="2" t="s">
        <v>95</v>
      </c>
      <c r="B17" s="8">
        <f>B7-SUM(B8:B14)</f>
        <v>-64338023.696</v>
      </c>
      <c r="C17" s="2" t="s">
        <v>86</v>
      </c>
    </row>
    <row r="18" spans="1:3">
      <c r="A18" s="2" t="s">
        <v>96</v>
      </c>
      <c r="B18" s="9" t="str">
        <f>IF(B15&gt;0,"Preliminary maximum supportable land price","No positive supportable land price under current diagnostic assumptions")</f>
        <v>No positive supportable land price under current diagnostic assumptions</v>
      </c>
      <c r="C18" s="2" t="s">
        <v>86</v>
      </c>
    </row>
    <row r="19" spans="1:3">
      <c r="A19" s="2" t="s">
        <v>97</v>
      </c>
      <c r="B19" s="9" t="s">
        <v>98</v>
      </c>
    </row>
  </sheetData>
  <mergeCells count="1">
    <mergeCell ref="A1:C1"/>
  </mergeCells>
  <pageMargins left="0.4" right="0.4" top="0.5" bottom="0.5" header="0.3" footer="0.3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22.7109375" customWidth="1"/>
    <col min="3" max="3" width="48.7109375" customWidth="1"/>
  </cols>
  <sheetData>
    <row r="1" spans="1:3">
      <c r="A1" s="1" t="s">
        <v>100</v>
      </c>
      <c r="B1" s="1"/>
      <c r="C1" s="1"/>
    </row>
    <row r="3" spans="1:3">
      <c r="A3" s="3" t="s">
        <v>82</v>
      </c>
      <c r="B3" s="3" t="s">
        <v>83</v>
      </c>
      <c r="C3" s="3" t="s">
        <v>84</v>
      </c>
    </row>
    <row r="4" spans="1:3">
      <c r="A4" s="2" t="s">
        <v>85</v>
      </c>
      <c r="B4" s="5">
        <f>Assumptions!D4</f>
        <v>430.0</v>
      </c>
      <c r="C4" s="2" t="s">
        <v>86</v>
      </c>
    </row>
    <row r="5" spans="1:3">
      <c r="A5" s="2" t="s">
        <v>46</v>
      </c>
      <c r="B5" s="5">
        <f>Assumptions!D5</f>
        <v>3.4</v>
      </c>
      <c r="C5" s="2" t="s">
        <v>86</v>
      </c>
    </row>
    <row r="6" spans="1:3">
      <c r="A6" s="2" t="s">
        <v>49</v>
      </c>
      <c r="B6" s="5">
        <f>B3*B4</f>
        <v>1462.0</v>
      </c>
      <c r="C6" s="2" t="s">
        <v>86</v>
      </c>
    </row>
    <row r="7" spans="1:3">
      <c r="A7" s="2" t="s">
        <v>52</v>
      </c>
      <c r="B7" s="7">
        <f>Assumptions!D7</f>
        <v>85000</v>
      </c>
      <c r="C7" s="2" t="s">
        <v>86</v>
      </c>
    </row>
    <row r="8" spans="1:3">
      <c r="A8" s="2" t="s">
        <v>87</v>
      </c>
      <c r="B8" s="7">
        <f>B5*B6</f>
        <v>124270000.0</v>
      </c>
      <c r="C8" s="2" t="s">
        <v>86</v>
      </c>
    </row>
    <row r="9" spans="1:3">
      <c r="A9" s="2" t="s">
        <v>88</v>
      </c>
      <c r="B9" s="7">
        <f>B5*Assumptions!D8</f>
        <v>87720000.0</v>
      </c>
      <c r="C9" s="2" t="s">
        <v>86</v>
      </c>
    </row>
    <row r="10" spans="1:3">
      <c r="A10" s="2" t="s">
        <v>89</v>
      </c>
      <c r="B10" s="7">
        <f>SUM(Assumptions!D9:D12)</f>
        <v>7500000</v>
      </c>
      <c r="C10" s="2" t="s">
        <v>86</v>
      </c>
    </row>
    <row r="11" spans="1:3">
      <c r="A11" s="2" t="s">
        <v>90</v>
      </c>
      <c r="B11" s="7">
        <f>B8+B9</f>
        <v>95220000.0</v>
      </c>
      <c r="C11" s="2" t="s">
        <v>86</v>
      </c>
    </row>
    <row r="12" spans="1:3">
      <c r="A12" s="2" t="s">
        <v>91</v>
      </c>
      <c r="B12" s="7">
        <f>B10*Assumptions!D13</f>
        <v>9522000.0</v>
      </c>
      <c r="C12" s="2" t="s">
        <v>86</v>
      </c>
    </row>
    <row r="13" spans="1:3">
      <c r="A13" s="2" t="s">
        <v>92</v>
      </c>
      <c r="B13" s="7">
        <f>B10*Assumptions!D14</f>
        <v>9522000.0</v>
      </c>
      <c r="C13" s="2" t="s">
        <v>86</v>
      </c>
    </row>
    <row r="14" spans="1:3">
      <c r="A14" s="2" t="s">
        <v>93</v>
      </c>
      <c r="B14" s="7">
        <f>B7*Assumptions!D15</f>
        <v>2485400.0</v>
      </c>
      <c r="C14" s="2" t="s">
        <v>86</v>
      </c>
    </row>
    <row r="15" spans="1:3">
      <c r="A15" s="2" t="s">
        <v>71</v>
      </c>
      <c r="B15" s="7">
        <f>(B10+B11+B12)*Assumptions!D16</f>
        <v>6855840.0</v>
      </c>
      <c r="C15" s="2" t="s">
        <v>86</v>
      </c>
    </row>
    <row r="16" spans="1:3">
      <c r="A16" s="2" t="s">
        <v>94</v>
      </c>
      <c r="B16" s="7">
        <f>B7*Assumptions!D17</f>
        <v>14912400.0</v>
      </c>
      <c r="C16" s="2" t="s">
        <v>86</v>
      </c>
    </row>
    <row r="17" spans="1:3">
      <c r="A17" s="2" t="s">
        <v>95</v>
      </c>
      <c r="B17" s="8">
        <f>B7-SUM(B8:B14)</f>
        <v>-14247640.0</v>
      </c>
      <c r="C17" s="2" t="s">
        <v>86</v>
      </c>
    </row>
    <row r="18" spans="1:3">
      <c r="A18" s="2" t="s">
        <v>96</v>
      </c>
      <c r="B18" s="9" t="str">
        <f>IF(B15&gt;0,"Preliminary maximum supportable land price","No positive supportable land price under current diagnostic assumptions")</f>
        <v>No positive supportable land price under current diagnostic assumptions</v>
      </c>
      <c r="C18" s="2" t="s">
        <v>86</v>
      </c>
    </row>
    <row r="19" spans="1:3">
      <c r="A19" s="2" t="s">
        <v>97</v>
      </c>
      <c r="B19" s="9" t="s">
        <v>98</v>
      </c>
    </row>
  </sheetData>
  <mergeCells count="1">
    <mergeCell ref="A1:C1"/>
  </mergeCells>
  <pageMargins left="0.4" right="0.4" top="0.5" bottom="0.5" header="0.3" footer="0.3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</cols>
  <sheetData>
    <row r="1" spans="1:6">
      <c r="A1" s="1" t="s">
        <v>101</v>
      </c>
      <c r="B1" s="1"/>
      <c r="C1" s="1"/>
      <c r="D1" s="1"/>
      <c r="E1" s="1"/>
      <c r="F1" s="1"/>
    </row>
    <row r="3" spans="1:6">
      <c r="A3" s="3" t="s">
        <v>102</v>
      </c>
      <c r="B3" s="3">
        <v>50000</v>
      </c>
      <c r="C3" s="3">
        <v>60000</v>
      </c>
      <c r="D3" s="3">
        <v>70000</v>
      </c>
      <c r="E3" s="3">
        <v>80000</v>
      </c>
      <c r="F3" s="3">
        <v>90000</v>
      </c>
    </row>
    <row r="4" spans="1:6">
      <c r="A4" s="3">
        <v>55000</v>
      </c>
      <c r="B4" s="7">
        <v>-47724479.84</v>
      </c>
      <c r="C4" s="7">
        <v>-62783385.96800001</v>
      </c>
      <c r="D4" s="7">
        <v>-77842292.096</v>
      </c>
      <c r="E4" s="7">
        <v>-92901198.22399998</v>
      </c>
      <c r="F4" s="7">
        <v>-107960104.352</v>
      </c>
    </row>
    <row r="5" spans="1:6">
      <c r="A5" s="3">
        <v>70000</v>
      </c>
      <c r="B5" s="7">
        <v>-34220211.44</v>
      </c>
      <c r="C5" s="7">
        <v>-49279117.568</v>
      </c>
      <c r="D5" s="7">
        <v>-64338023.696</v>
      </c>
      <c r="E5" s="7">
        <v>-79396929.82399997</v>
      </c>
      <c r="F5" s="7">
        <v>-94455835.95199998</v>
      </c>
    </row>
    <row r="6" spans="1:6">
      <c r="A6" s="3">
        <v>85000</v>
      </c>
      <c r="B6" s="7">
        <v>-20715943.04000001</v>
      </c>
      <c r="C6" s="7">
        <v>-35774849.16800001</v>
      </c>
      <c r="D6" s="7">
        <v>-50833755.29600001</v>
      </c>
      <c r="E6" s="7">
        <v>-65892661.42399999</v>
      </c>
      <c r="F6" s="7">
        <v>-80951567.55199999</v>
      </c>
    </row>
    <row r="7" spans="1:6">
      <c r="A7" s="3">
        <v>100000</v>
      </c>
      <c r="B7" s="7">
        <v>-7211674.640000012</v>
      </c>
      <c r="C7" s="7">
        <v>-22270580.76800001</v>
      </c>
      <c r="D7" s="7">
        <v>-37329486.89600001</v>
      </c>
      <c r="E7" s="7">
        <v>-52388393.02399999</v>
      </c>
      <c r="F7" s="7">
        <v>-67447299.15199998</v>
      </c>
    </row>
    <row r="8" spans="1:6">
      <c r="A8" s="3">
        <v>115000</v>
      </c>
      <c r="B8" s="7">
        <v>6292593.759999987</v>
      </c>
      <c r="C8" s="7">
        <v>-8766312.368000014</v>
      </c>
      <c r="D8" s="7">
        <v>-23825218.49600001</v>
      </c>
      <c r="E8" s="7">
        <v>-38884124.62399998</v>
      </c>
      <c r="F8" s="7">
        <v>-53943030.75199999</v>
      </c>
    </row>
  </sheetData>
  <mergeCells count="1">
    <mergeCell ref="A1:F1"/>
  </mergeCells>
  <pageMargins left="0.4" right="0.4" top="0.5" bottom="0.5" header="0.3" footer="0.3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</cols>
  <sheetData>
    <row r="1" spans="1:6">
      <c r="A1" s="1" t="s">
        <v>103</v>
      </c>
      <c r="B1" s="1"/>
      <c r="C1" s="1"/>
      <c r="D1" s="1"/>
      <c r="E1" s="1"/>
      <c r="F1" s="1"/>
    </row>
    <row r="3" spans="1:6">
      <c r="A3" s="3" t="s">
        <v>104</v>
      </c>
      <c r="B3" s="3">
        <v>2.2</v>
      </c>
      <c r="C3" s="3">
        <v>2.6</v>
      </c>
      <c r="D3" s="3">
        <v>2.8</v>
      </c>
      <c r="E3" s="3">
        <v>3.2</v>
      </c>
      <c r="F3" s="3">
        <v>3.4</v>
      </c>
    </row>
    <row r="4" spans="1:6">
      <c r="A4" s="3">
        <v>350</v>
      </c>
      <c r="B4" s="7">
        <v>-51676839.99999999</v>
      </c>
      <c r="C4" s="7">
        <v>-57082520</v>
      </c>
      <c r="D4" s="7">
        <v>-59785360</v>
      </c>
      <c r="E4" s="7">
        <v>-65191040</v>
      </c>
      <c r="F4" s="7">
        <v>-67893880</v>
      </c>
    </row>
    <row r="5" spans="1:6">
      <c r="A5" s="3">
        <v>375</v>
      </c>
      <c r="B5" s="7">
        <v>-53800499.99999999</v>
      </c>
      <c r="C5" s="7">
        <v>-59592300</v>
      </c>
      <c r="D5" s="7">
        <v>-62488200</v>
      </c>
      <c r="E5" s="7">
        <v>-68280000</v>
      </c>
      <c r="F5" s="7">
        <v>-71175900</v>
      </c>
    </row>
    <row r="6" spans="1:6">
      <c r="A6" s="3">
        <v>392.11</v>
      </c>
      <c r="B6" s="7">
        <v>-55253932.904</v>
      </c>
      <c r="C6" s="7">
        <v>-61309993.432</v>
      </c>
      <c r="D6" s="7">
        <v>-64338023.696</v>
      </c>
      <c r="E6" s="7">
        <v>-70394084.22400001</v>
      </c>
      <c r="F6" s="7">
        <v>-73422114.48800001</v>
      </c>
    </row>
    <row r="7" spans="1:6">
      <c r="A7" s="3">
        <v>410</v>
      </c>
      <c r="B7" s="7">
        <v>-56773623.99999999</v>
      </c>
      <c r="C7" s="7">
        <v>-63105992</v>
      </c>
      <c r="D7" s="7">
        <v>-66272176</v>
      </c>
      <c r="E7" s="7">
        <v>-72604544</v>
      </c>
      <c r="F7" s="7">
        <v>-75770728</v>
      </c>
    </row>
    <row r="8" spans="1:6">
      <c r="A8" s="3">
        <v>430</v>
      </c>
      <c r="B8" s="7">
        <v>-58472551.99999999</v>
      </c>
      <c r="C8" s="7">
        <v>-65113816</v>
      </c>
      <c r="D8" s="7">
        <v>-68434448</v>
      </c>
      <c r="E8" s="7">
        <v>-75075712</v>
      </c>
      <c r="F8" s="7">
        <v>-78396344</v>
      </c>
    </row>
  </sheetData>
  <mergeCells count="1">
    <mergeCell ref="A1:F1"/>
  </mergeCells>
  <pageMargins left="0.4" right="0.4" top="0.5" bottom="0.5" header="0.3" footer="0.3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8" width="24.7109375" customWidth="1"/>
  </cols>
  <sheetData>
    <row r="1" spans="1:8">
      <c r="A1" s="3" t="s">
        <v>105</v>
      </c>
      <c r="B1" s="3" t="s">
        <v>106</v>
      </c>
      <c r="C1" s="3" t="s">
        <v>107</v>
      </c>
      <c r="D1" s="3" t="s">
        <v>108</v>
      </c>
      <c r="E1" s="3" t="s">
        <v>109</v>
      </c>
      <c r="F1" s="3" t="s">
        <v>110</v>
      </c>
      <c r="G1" s="3" t="s">
        <v>111</v>
      </c>
      <c r="H1" s="3" t="s">
        <v>112</v>
      </c>
    </row>
    <row r="2" spans="1:8">
      <c r="A2" s="2" t="s">
        <v>15</v>
      </c>
      <c r="B2" s="5">
        <v>489.43</v>
      </c>
      <c r="C2" s="5">
        <v>392.11</v>
      </c>
      <c r="D2" s="5">
        <v>89</v>
      </c>
      <c r="E2" s="2" t="s">
        <v>113</v>
      </c>
      <c r="F2" s="2" t="s">
        <v>114</v>
      </c>
      <c r="G2" s="2" t="s">
        <v>115</v>
      </c>
      <c r="H2" s="2" t="s">
        <v>116</v>
      </c>
    </row>
    <row r="3" spans="1:8">
      <c r="A3" s="2" t="s">
        <v>117</v>
      </c>
      <c r="B3" s="5">
        <v>670.27</v>
      </c>
      <c r="C3" s="5">
        <v>554.36</v>
      </c>
      <c r="D3" s="5">
        <v>77</v>
      </c>
      <c r="E3" s="2" t="s">
        <v>118</v>
      </c>
      <c r="F3" s="2" t="s">
        <v>119</v>
      </c>
      <c r="G3" s="2" t="s">
        <v>120</v>
      </c>
      <c r="H3" s="2" t="s">
        <v>121</v>
      </c>
    </row>
    <row r="4" spans="1:8">
      <c r="A4" s="2" t="s">
        <v>122</v>
      </c>
      <c r="B4" s="5">
        <v>233.26</v>
      </c>
      <c r="C4" s="5">
        <v>112.85</v>
      </c>
      <c r="D4" s="5">
        <v>36</v>
      </c>
      <c r="E4" s="2" t="s">
        <v>123</v>
      </c>
      <c r="F4" s="2" t="s">
        <v>124</v>
      </c>
      <c r="G4" s="2" t="s">
        <v>125</v>
      </c>
      <c r="H4" s="2" t="s">
        <v>121</v>
      </c>
    </row>
  </sheetData>
  <pageMargins left="0.4" right="0.4" top="0.5" bottom="0.5" header="0.3" footer="0.3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6" width="28.7109375" customWidth="1"/>
  </cols>
  <sheetData>
    <row r="1" spans="1:6">
      <c r="A1" s="3" t="s">
        <v>126</v>
      </c>
      <c r="B1" s="3" t="s">
        <v>127</v>
      </c>
      <c r="C1" s="3" t="s">
        <v>128</v>
      </c>
      <c r="D1" s="3" t="s">
        <v>129</v>
      </c>
      <c r="E1" s="3" t="s">
        <v>130</v>
      </c>
      <c r="F1" s="3" t="s">
        <v>131</v>
      </c>
    </row>
    <row r="2" spans="1:6">
      <c r="A2" s="2" t="s">
        <v>132</v>
      </c>
      <c r="B2" s="2" t="s">
        <v>133</v>
      </c>
      <c r="C2" s="2" t="s">
        <v>134</v>
      </c>
      <c r="D2" s="2" t="s">
        <v>135</v>
      </c>
      <c r="E2" s="2" t="s">
        <v>136</v>
      </c>
      <c r="F2" s="2" t="s">
        <v>137</v>
      </c>
    </row>
    <row r="3" spans="1:6">
      <c r="A3" s="2" t="s">
        <v>138</v>
      </c>
      <c r="B3" s="2" t="s">
        <v>139</v>
      </c>
      <c r="C3" s="2" t="s">
        <v>140</v>
      </c>
      <c r="D3" s="2" t="s">
        <v>141</v>
      </c>
      <c r="E3" s="2" t="s">
        <v>142</v>
      </c>
      <c r="F3" s="2" t="s">
        <v>48</v>
      </c>
    </row>
    <row r="4" spans="1:6">
      <c r="A4" s="2" t="s">
        <v>143</v>
      </c>
      <c r="B4" s="2" t="s">
        <v>144</v>
      </c>
      <c r="C4" s="2" t="s">
        <v>145</v>
      </c>
      <c r="D4" s="2" t="s">
        <v>146</v>
      </c>
      <c r="E4" s="2" t="s">
        <v>147</v>
      </c>
      <c r="F4" s="2" t="s">
        <v>148</v>
      </c>
    </row>
    <row r="5" spans="1:6">
      <c r="A5" s="2" t="s">
        <v>149</v>
      </c>
      <c r="B5" s="2" t="s">
        <v>150</v>
      </c>
      <c r="C5" s="2" t="s">
        <v>151</v>
      </c>
      <c r="D5" s="2" t="s">
        <v>152</v>
      </c>
      <c r="E5" s="2" t="s">
        <v>153</v>
      </c>
      <c r="F5" s="2" t="s">
        <v>48</v>
      </c>
    </row>
    <row r="9" spans="1:6">
      <c r="A9" s="3" t="s">
        <v>154</v>
      </c>
      <c r="B9" s="2" t="s">
        <v>155</v>
      </c>
    </row>
  </sheetData>
  <pageMargins left="0.4" right="0.4" top="0.5" bottom="0.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3</vt:i4>
      </vt:variant>
    </vt:vector>
  </HeadingPairs>
  <TitlesOfParts>
    <vt:vector size="13" baseType="lpstr">
      <vt:lpstr>Instructions</vt:lpstr>
      <vt:lpstr>Parcel Evidence</vt:lpstr>
      <vt:lpstr>Assumptions</vt:lpstr>
      <vt:lpstr>Downside</vt:lpstr>
      <vt:lpstr>Base</vt:lpstr>
      <vt:lpstr>Upside</vt:lpstr>
      <vt:lpstr>Sens Value vs Cost</vt:lpstr>
      <vt:lpstr>Sens Acres Density</vt:lpstr>
      <vt:lpstr>Candidate Comparison</vt:lpstr>
      <vt:lpstr>Sources and Limitations</vt:lpstr>
      <vt:lpstr>Base!Print_Area</vt:lpstr>
      <vt:lpstr>Downside!Print_Area</vt:lpstr>
      <vt:lpstr>Upside!Print_Area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CFS Development Land Underwriting</dc:title>
  <dc:creator>Cabarrus FutureScape</dc:creator>
  <cp:lastModifiedBy>Cabarrus FutureScape</cp:lastModifiedBy>
  <dcterms:created xsi:type="dcterms:W3CDTF">2026-07-21T01:32:10Z</dcterms:created>
  <dcterms:modified xsi:type="dcterms:W3CDTF">2026-07-21T01:32:10Z</dcterms:modified>
</cp:coreProperties>
</file>